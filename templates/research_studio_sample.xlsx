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Executive_Summary" state="visible" r:id="rId4"/>
    <sheet sheetId="2" name="Comparison_Matrix" state="visible" r:id="rId5"/>
    <sheet sheetId="3" name="Source_Index" state="visible" r:id="rId6"/>
  </sheets>
  <definedNames>
    <definedName name="_xlnm.Print_Area" localSheetId="0">'Executive_Summary'!$A1:$H23</definedName>
    <definedName name="_xlnm.Print_Area" localSheetId="1">'Comparison_Matrix'!$A1:$F15</definedName>
    <definedName name="_xlnm.Print_Titles" localSheetId="1">'Comparison_Matrix'!$3:$3</definedName>
    <definedName name="_xlnm.Print_Area" localSheetId="2">'Source_Index'!$A1:$E9</definedName>
    <definedName name="_xlnm.Print_Titles" localSheetId="2">'Source_Index'!$3:$3</definedName>
  </definedNames>
  <calcPr calcId="171027"/>
</workbook>
</file>

<file path=xl/sharedStrings.xml><?xml version="1.0" encoding="utf-8"?>
<sst xmlns="http://schemas.openxmlformats.org/spreadsheetml/2006/main" count="127" uniqueCount="114">
  <si>
    <t>社内ナレッジ検索への生成AI（RAG）導入評価</t>
  </si>
  <si>
    <t>主要3方式の比較分析と段階的導入ロードマップ</t>
  </si>
  <si>
    <t>CONFIDENCE SCORE</t>
  </si>
  <si>
    <t>94点 / Grade A</t>
  </si>
  <si>
    <t>調査テーマ</t>
  </si>
  <si>
    <t>作成日</t>
  </si>
  <si>
    <t>発行元</t>
  </si>
  <si>
    <t>機密区分</t>
  </si>
  <si>
    <t>ナレッジマネジメント / 生成AI</t>
  </si>
  <si>
    <t>2026-10-27</t>
  </si>
  <si>
    <t>Research Studio</t>
  </si>
  <si>
    <t>CONFIDENTIAL</t>
  </si>
  <si>
    <r>
      <rPr>
        <b/>
        <color rgb="FF2563EB"/>
        <sz val="10"/>
        <rFont val="Meiryo UI"/>
      </rPr>
      <t xml:space="preserve">KEY METRICS  </t>
    </r>
    <r>
      <rPr>
        <color rgb="FF64748B"/>
        <sz val="9"/>
        <rFont val="Meiryo UI"/>
      </rPr>
      <t>主要指標</t>
    </r>
  </si>
  <si>
    <t>国内市場規模</t>
  </si>
  <si>
    <t>市場成長率</t>
  </si>
  <si>
    <t>導入コスト</t>
  </si>
  <si>
    <t>信頼度</t>
  </si>
  <si>
    <t>1.2兆円</t>
  </si>
  <si>
    <t>+18.5%</t>
  </si>
  <si>
    <t>月額9.8万</t>
  </si>
  <si>
    <t>92%</t>
  </si>
  <si>
    <t>2026年見込み · 調査会社推計 [1]</t>
  </si>
  <si>
    <t>年平均成長率（2026–2030） [1]</t>
  </si>
  <si>
    <t>150名規模・SaaS型の中央値 [3]</t>
  </si>
  <si>
    <t>一次情報で裏付けた論点の比率</t>
  </si>
  <si>
    <r>
      <rPr>
        <b/>
        <color rgb="FF2563EB"/>
        <sz val="10"/>
        <rFont val="Meiryo UI"/>
      </rPr>
      <t xml:space="preserve">EXECUTIVE SUMMARY  </t>
    </r>
    <r>
      <rPr>
        <color rgb="FF64748B"/>
        <sz val="9"/>
        <rFont val="Meiryo UI"/>
      </rPr>
      <t>結論・課題・推奨アクション</t>
    </r>
  </si>
  <si>
    <t>結論</t>
  </si>
  <si>
    <t>SaaS型AI検索で小さく始め、3ヶ月のパイロットで検索時間30%短縮を確認できた段階で全社展開へ進むべきである。機密性の高い部門のみ、9ヶ月目以降に自社構築RAGへ移行する二段構えが、リスク調整後の期待値を最大化する。</t>
  </si>
  <si>
    <t>主要な課題</t>
  </si>
  <si>
    <t>01</t>
  </si>
  <si>
    <t>閲覧権限のない文書が回答に混入するリスク。ACL連携が方式選定の必須要件になる。</t>
  </si>
  <si>
    <t>02</t>
  </si>
  <si>
    <t>回答精度は文書の鮮度・重複・メタデータに左右される。導入前の文書整備が成否を分ける。</t>
  </si>
  <si>
    <t>03</t>
  </si>
  <si>
    <t>従量課金のため、利用拡大に比例してランニングコストが増える。</t>
  </si>
  <si>
    <t xml:space="preserve">推奨ネクスト
アクション</t>
  </si>
  <si>
    <t>短期 0–3ヶ月</t>
  </si>
  <si>
    <t>SaaS型を2部門・150名で試験導入し、検索時間と正答率のベースラインを計測する</t>
  </si>
  <si>
    <t>情報システム部</t>
  </si>
  <si>
    <t>中期 3–9ヶ月</t>
  </si>
  <si>
    <t>全部門へ展開し、部門ごとに文書オーナーを任命。ACL同期を月次で監査する</t>
  </si>
  <si>
    <t>推進PMO</t>
  </si>
  <si>
    <t>長期 9–18ヶ月</t>
  </si>
  <si>
    <t>機密部門のみ自社構築RAGへ移行し、業務システムとの連携を進める</t>
  </si>
  <si>
    <t>本レポートは公開情報をもとにAIが自動収集・分析した結果であり、正確性・完全性を保証するものではありません。出典は Source_Index シートを参照してください。</t>
  </si>
  <si>
    <t>主要3方式の比較マトリクス</t>
  </si>
  <si>
    <t>評価：◎ 優位　○ 標準　△ 要注意　／　金額は税抜・150名利用時の概算</t>
  </si>
  <si>
    <t>項目名</t>
  </si>
  <si>
    <t>★ SaaS型AI検索（推奨）</t>
  </si>
  <si>
    <t>自社構築RAG</t>
  </si>
  <si>
    <t>既存検索＋LLM連携</t>
  </si>
  <si>
    <t>選定基準</t>
  </si>
  <si>
    <t>推奨度</t>
  </si>
  <si>
    <t>機能</t>
  </si>
  <si>
    <t>回答精度（社内QA正答率）</t>
  </si>
  <si>
    <t>○ 85%</t>
  </si>
  <si>
    <t>◎ 91%</t>
  </si>
  <si>
    <t>△ 68%</t>
  </si>
  <si>
    <t>正答率80%以上</t>
  </si>
  <si>
    <t>◎</t>
  </si>
  <si>
    <t>閲覧権限（ACL）の継承</t>
  </si>
  <si>
    <t>◎ 標準対応</t>
  </si>
  <si>
    <t>○ 実装が必要</t>
  </si>
  <si>
    <t>既存の権限を自動で引き継げること</t>
  </si>
  <si>
    <t>出典リンクの表示</t>
  </si>
  <si>
    <t>○</t>
  </si>
  <si>
    <t>回答の根拠を検証できること</t>
  </si>
  <si>
    <t>費用</t>
  </si>
  <si>
    <t>初期費用（円）</t>
  </si>
  <si>
    <t>初年度予算2,000万円以内</t>
  </si>
  <si>
    <t>月額費用（円）</t>
  </si>
  <si>
    <t>3年総額で比較</t>
  </si>
  <si>
    <t>3年総保有コスト（円）</t>
  </si>
  <si>
    <t>効果額との比較で判断</t>
  </si>
  <si>
    <t>運用・リスク</t>
  </si>
  <si>
    <t>稼働までの期間</t>
  </si>
  <si>
    <t>2週間</t>
  </si>
  <si>
    <t>4–6ヶ月</t>
  </si>
  <si>
    <t>1–2ヶ月</t>
  </si>
  <si>
    <t>3ヶ月以内にパイロット開始</t>
  </si>
  <si>
    <t>必要な運用体制</t>
  </si>
  <si>
    <t>兼任1名</t>
  </si>
  <si>
    <t>専任2名以上</t>
  </si>
  <si>
    <t>既存人員で運用できること</t>
  </si>
  <si>
    <t>ベンダーロックイン</t>
  </si>
  <si>
    <t>△ 移行手段が限定的</t>
  </si>
  <si>
    <t>◎ 自社保有</t>
  </si>
  <si>
    <t>データのエクスポート可否</t>
  </si>
  <si>
    <t>△</t>
  </si>
  <si>
    <t>引用元・エビデンス一覧</t>
  </si>
  <si>
    <t>信頼度スコア：80以上＝高（緑）　60–79＝中　60未満＝要注意（橙）　／　全6件</t>
  </si>
  <si>
    <t>出典ID</t>
  </si>
  <si>
    <t>情報源ドメイン</t>
  </si>
  <si>
    <t>信頼度スコア</t>
  </si>
  <si>
    <t>記事タイトル</t>
  </si>
  <si>
    <t>URL</t>
  </si>
  <si>
    <t>[1]</t>
  </si>
  <si>
    <t>market.example.com</t>
  </si>
  <si>
    <t>国内AIソリューション市場規模予測 2026–2030</t>
  </si>
  <si>
    <t>[2]</t>
  </si>
  <si>
    <t>papers.example.org</t>
  </si>
  <si>
    <t>検索拡張生成（RAG）の評価手法に関する技術報告</t>
  </si>
  <si>
    <t>[3]</t>
  </si>
  <si>
    <t>tech.example.net</t>
  </si>
  <si>
    <t>企業向けAI検索サービス 製品比較ガイド</t>
  </si>
  <si>
    <t>[4]</t>
  </si>
  <si>
    <t>stats.example.go.jp</t>
  </si>
  <si>
    <t>企業におけるAI活用実態調査 2026</t>
  </si>
  <si>
    <t>[5]</t>
  </si>
  <si>
    <t>security.example.or.jp</t>
  </si>
  <si>
    <t>生成AI導入に伴う情報セキュリティインシデント事例集</t>
  </si>
  <si>
    <t>[6]</t>
  </si>
  <si>
    <t>blog.example.com</t>
  </si>
  <si>
    <t>AI検索ツール乗り換えの実体験レポート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</si>
</sst>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FFFFFF"/>
      <sz val="13"/>
      <name val="Meiryo UI"/>
    </font>
    <font>
      <color rgb="FFCBD5E1"/>
      <sz val="10"/>
      <name val="Meiryo UI"/>
    </font>
    <font>
      <b/>
      <color rgb="FF67E8F9"/>
      <sz val="8"/>
      <name val="Meiryo UI"/>
    </font>
    <font>
      <b/>
      <color rgb="FFFFFFFF"/>
      <sz val="16"/>
      <name val="Meiryo UI"/>
    </font>
    <font>
      <b/>
      <color rgb="FF64748B"/>
      <sz val="8"/>
      <name val="Meiryo UI"/>
    </font>
    <font>
      <b/>
      <color rgb="FF0F172A"/>
      <sz val="11"/>
      <name val="Meiryo UI"/>
    </font>
    <font>
      <b/>
      <color rgb="FFB91C1C"/>
      <sz val="11"/>
      <name val="Meiryo UI"/>
    </font>
    <font>
      <b/>
      <color rgb="FF64748B"/>
      <sz val="9"/>
      <name val="Meiryo UI"/>
    </font>
    <font>
      <b/>
      <color rgb="FF0F172A"/>
      <sz val="22"/>
      <name val="Meiryo UI"/>
    </font>
    <font>
      <color rgb="FF64748B"/>
      <sz val="8"/>
      <name val="Meiryo UI"/>
    </font>
    <font>
      <b/>
      <color rgb="FFFFFFFF"/>
      <sz val="10"/>
      <name val="Meiryo UI"/>
    </font>
    <font>
      <b/>
      <color rgb="FFB45309"/>
      <sz val="10"/>
      <name val="Meiryo UI"/>
    </font>
    <font>
      <color rgb="FF334155"/>
      <sz val="10"/>
      <name val="Meiryo UI"/>
    </font>
    <font>
      <b/>
      <color rgb="FF047857"/>
      <sz val="10"/>
      <name val="Meiryo UI"/>
    </font>
    <font>
      <b/>
      <color rgb="FF047857"/>
      <sz val="9"/>
      <name val="Meiryo UI"/>
    </font>
    <font>
      <color rgb="FF0F172A"/>
      <sz val="10"/>
      <name val="Meiryo UI"/>
    </font>
    <font>
      <color rgb="FF64748B"/>
      <sz val="9"/>
      <name val="Meiryo UI"/>
    </font>
    <font>
      <color rgb="FF94A3B8"/>
      <sz val="8"/>
      <name val="Meiryo UI"/>
    </font>
    <font>
      <b/>
      <color rgb="FFFFFFFF"/>
      <sz val="9"/>
      <name val="Meiryo UI"/>
    </font>
    <font>
      <b/>
      <color rgb="FF0F172A"/>
      <sz val="10"/>
      <name val="Meiryo UI"/>
    </font>
    <font>
      <b/>
      <color rgb="FF047857"/>
      <sz val="11"/>
      <name val="Meiryo UI"/>
    </font>
    <font>
      <b/>
      <color rgb="FF334155"/>
      <sz val="11"/>
      <name val="Meiryo UI"/>
    </font>
    <font>
      <b/>
      <color rgb="FFB45309"/>
      <sz val="11"/>
      <name val="Meiryo UI"/>
    </font>
    <font>
      <b/>
      <color rgb="FF2563EB"/>
      <sz val="10"/>
      <name val="Meiryo UI"/>
    </font>
    <font>
      <color rgb="FF64748B"/>
      <sz val="10"/>
      <name val="Meiryo UI"/>
    </font>
    <font>
      <u/>
      <color rgb="FF2563EB"/>
      <sz val="10"/>
      <name val="Meiryo UI"/>
    </font>
  </fonts>
  <fills count="16">
    <fill>
      <patternFill patternType="none"/>
    </fill>
    <fill>
      <patternFill patternType="gray125"/>
    </fill>
    <fill>
      <gradientFill degree="0">
        <stop position="0">
          <color rgb="FF0F172A"/>
        </stop>
        <stop position="1">
          <color rgb="FF1E3A8A"/>
        </stop>
      </gradientFill>
    </fill>
    <fill>
      <patternFill patternType="solid">
        <fgColor rgb="FF1E3A8A"/>
      </patternFill>
    </fill>
    <fill>
      <patternFill patternType="solid">
        <fgColor rgb="FF0F172A"/>
      </patternFill>
    </fill>
    <fill>
      <gradientFill degree="0">
        <stop position="0">
          <color rgb="FF2563EB"/>
        </stop>
        <stop position="0.55">
          <color rgb="FF06B6D4"/>
        </stop>
        <stop position="1">
          <color rgb="FF4F46E5"/>
        </stop>
      </gradientFill>
    </fill>
    <fill>
      <patternFill patternType="solid">
        <fgColor rgb="FFFEF2F2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06B6D4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CFEFF"/>
      </patternFill>
    </fill>
    <fill>
      <patternFill patternType="solid">
        <fgColor rgb="FFE0F7FA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F172A"/>
      </bottom>
      <diagonal/>
    </border>
    <border>
      <left style="medium">
        <color rgb="FFFFFFFF"/>
      </left>
      <right/>
      <top style="thick">
        <color rgb="FF06B6D4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n">
        <color rgb="FFE2E8F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334155"/>
      </right>
      <top/>
      <bottom style="medium">
        <color rgb="FF2563EB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center" vertical="bottom"/>
    </xf>
    <xf numFmtId="0" fontId="4" fillId="4" borderId="0" xfId="0" applyFont="1" applyFill="1" applyAlignment="1">
      <alignment horizontal="center" vertical="top" shrinkToFit="1"/>
    </xf>
    <xf numFmtId="0" fontId="0" fillId="5" borderId="0" xfId="0" applyFill="1"/>
    <xf numFmtId="0" fontId="5" fillId="0" borderId="0" xfId="0" applyFont="1" applyAlignment="1">
      <alignment vertical="bottom" indent="1"/>
    </xf>
    <xf numFmtId="0" fontId="6" fillId="0" borderId="1" xfId="0" applyFont="1" applyBorder="1" applyAlignment="1">
      <alignment vertical="center" indent="1"/>
    </xf>
    <xf numFmtId="0" fontId="7" fillId="6" borderId="1" xfId="0" applyFont="1" applyFill="1" applyBorder="1" applyAlignment="1">
      <alignment vertical="center" indent="1"/>
    </xf>
    <xf numFmtId="0" fontId="0" fillId="0" borderId="2" xfId="0" applyBorder="1" applyAlignment="1">
      <alignment vertical="bottom"/>
    </xf>
    <xf numFmtId="0" fontId="0" fillId="0" borderId="2" xfId="0" applyBorder="1"/>
    <xf numFmtId="0" fontId="8" fillId="7" borderId="3" xfId="0" applyFont="1" applyFill="1" applyBorder="1" applyAlignment="1">
      <alignment vertical="bottom" indent="1"/>
    </xf>
    <xf numFmtId="0" fontId="9" fillId="7" borderId="4" xfId="0" applyFont="1" applyFill="1" applyBorder="1" applyAlignment="1">
      <alignment vertical="center" indent="1"/>
    </xf>
    <xf numFmtId="0" fontId="10" fillId="7" borderId="5" xfId="0" applyFont="1" applyFill="1" applyBorder="1" applyAlignment="1">
      <alignment vertical="top" wrapText="1" indent="1"/>
    </xf>
    <xf numFmtId="0" fontId="11" fillId="4" borderId="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 indent="1"/>
    </xf>
    <xf numFmtId="0" fontId="12" fillId="9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 indent="1"/>
    </xf>
    <xf numFmtId="0" fontId="14" fillId="10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 inden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4" fillId="4" borderId="0" xfId="0" applyFont="1" applyFill="1" applyAlignment="1">
      <alignment vertical="center" indent="1"/>
    </xf>
    <xf numFmtId="0" fontId="17" fillId="0" borderId="0" xfId="0" applyFont="1" applyAlignment="1">
      <alignment vertical="center" indent="1"/>
    </xf>
    <xf numFmtId="0" fontId="11" fillId="4" borderId="7" xfId="0" applyFont="1" applyFill="1" applyBorder="1" applyAlignment="1">
      <alignment horizontal="left" vertical="center" wrapText="1" indent="1"/>
    </xf>
    <xf numFmtId="0" fontId="11" fillId="11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vertical="center" indent="1"/>
    </xf>
    <xf numFmtId="0" fontId="20" fillId="13" borderId="8" xfId="0" applyFont="1" applyFill="1" applyBorder="1" applyAlignment="1">
      <alignment vertical="center" wrapText="1" indent="1"/>
    </xf>
    <xf numFmtId="0" fontId="13" fillId="14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7" fillId="13" borderId="8" xfId="0" applyFont="1" applyFill="1" applyBorder="1" applyAlignment="1">
      <alignment vertical="center" wrapText="1" indent="1"/>
    </xf>
    <xf numFmtId="0" fontId="21" fillId="10" borderId="8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vertical="center" wrapText="1" indent="1"/>
    </xf>
    <xf numFmtId="0" fontId="13" fillId="15" borderId="8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left" vertical="center" wrapText="1" indent="1"/>
    </xf>
    <xf numFmtId="0" fontId="13" fillId="7" borderId="8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vertical="center" wrapText="1" indent="1"/>
    </xf>
    <xf numFmtId="0" fontId="22" fillId="13" borderId="8" xfId="0" applyFont="1" applyFill="1" applyBorder="1" applyAlignment="1">
      <alignment horizontal="center" vertical="center"/>
    </xf>
    <xf numFmtId="3" fontId="16" fillId="14" borderId="8" xfId="0" applyNumberFormat="1" applyFont="1" applyFill="1" applyBorder="1" applyAlignment="1">
      <alignment horizontal="right" vertical="center" indent="1"/>
    </xf>
    <xf numFmtId="3" fontId="16" fillId="13" borderId="8" xfId="0" applyNumberFormat="1" applyFont="1" applyFill="1" applyBorder="1" applyAlignment="1">
      <alignment horizontal="right" vertical="center" indent="1"/>
    </xf>
    <xf numFmtId="3" fontId="16" fillId="15" borderId="8" xfId="0" applyNumberFormat="1" applyFont="1" applyFill="1" applyBorder="1" applyAlignment="1">
      <alignment horizontal="right" vertical="center" indent="1"/>
    </xf>
    <xf numFmtId="3" fontId="16" fillId="7" borderId="8" xfId="0" applyNumberFormat="1" applyFont="1" applyFill="1" applyBorder="1" applyAlignment="1">
      <alignment horizontal="right" vertical="center" indent="1"/>
    </xf>
    <xf numFmtId="0" fontId="22" fillId="7" borderId="8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left" vertical="center" wrapText="1" indent="1"/>
    </xf>
    <xf numFmtId="0" fontId="23" fillId="9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 vertical="center" indent="1"/>
    </xf>
    <xf numFmtId="0" fontId="24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left" vertical="center" indent="1"/>
    </xf>
    <xf numFmtId="1" fontId="20" fillId="13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 indent="1"/>
    </xf>
    <xf numFmtId="0" fontId="26" fillId="13" borderId="1" xfId="0" applyFont="1" applyFill="1" applyBorder="1" applyAlignment="1">
      <alignment horizontal="left" vertical="center" indent="1"/>
    </xf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left" vertical="center" indent="1"/>
    </xf>
    <xf numFmtId="1" fontId="20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 indent="1"/>
    </xf>
    <xf numFmtId="0" fontId="26" fillId="7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047857"/>
      </font>
      <fill>
        <patternFill patternType="solid">
          <bgColor rgb="FFECFDF5"/>
        </patternFill>
      </fill>
    </dxf>
    <dxf>
      <font>
        <b/>
        <color rgb="FFB45309"/>
      </font>
      <fill>
        <patternFill patternType="solid">
          <bgColor rgb="FFFFFB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  <pageSetUpPr fitToPage="1"/>
  </sheetPr>
  <dimension ref="A1:H23"/>
  <sheetViews>
    <sheetView workbookViewId="0" showGridLines="0" zoomScale="100"/>
  </sheetViews>
  <sheetFormatPr defaultRowHeight="15" outlineLevelRow="0" outlineLevelCol="0" x14ac:dyDescent="55"/>
  <cols>
    <col min="1" max="8" width="17" customWidth="1"/>
  </cols>
  <sheetData>
    <row r="1" ht="30" customHeight="1" spans="1:8" x14ac:dyDescent="0.25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</row>
    <row r="2" ht="30" customHeight="1" spans="1:8" x14ac:dyDescent="0.25">
      <c r="A2" s="1"/>
      <c r="B2" s="1"/>
      <c r="C2" s="1"/>
      <c r="D2" s="2"/>
      <c r="E2" s="2"/>
      <c r="F2" s="2"/>
      <c r="G2" s="4" t="s">
        <v>3</v>
      </c>
      <c r="H2" s="4"/>
    </row>
    <row r="3" ht="4" customHeight="1" spans="1:8" x14ac:dyDescent="0.25">
      <c r="A3" s="5"/>
      <c r="B3" s="5"/>
      <c r="C3" s="5"/>
      <c r="D3" s="5"/>
      <c r="E3" s="5"/>
      <c r="F3" s="5"/>
      <c r="G3" s="5"/>
      <c r="H3" s="5"/>
    </row>
    <row r="4" ht="8" customHeight="1" x14ac:dyDescent="0.25"/>
    <row r="5" ht="16" customHeight="1" spans="1:8" x14ac:dyDescent="0.25">
      <c r="A5" s="6" t="s">
        <v>4</v>
      </c>
      <c r="B5" s="6"/>
      <c r="C5" s="6" t="s">
        <v>5</v>
      </c>
      <c r="D5" s="6"/>
      <c r="E5" s="6" t="s">
        <v>6</v>
      </c>
      <c r="F5" s="6"/>
      <c r="G5" s="6" t="s">
        <v>7</v>
      </c>
      <c r="H5" s="6"/>
    </row>
    <row r="6" ht="24" customHeight="1" spans="1:8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8" t="s">
        <v>11</v>
      </c>
      <c r="H6" s="8"/>
    </row>
    <row r="7" ht="12" customHeight="1" x14ac:dyDescent="0.25"/>
    <row r="8" ht="22" customHeight="1" spans="1:8" x14ac:dyDescent="0.25">
      <c r="A8" s="9" t="s">
        <v>12</v>
      </c>
      <c r="B8" s="9"/>
      <c r="C8" s="9"/>
      <c r="D8" s="9"/>
      <c r="E8" s="10"/>
      <c r="F8" s="10"/>
      <c r="G8" s="10"/>
      <c r="H8" s="10"/>
    </row>
    <row r="9" ht="20" customHeight="1" spans="1:8" x14ac:dyDescent="0.25">
      <c r="A9" s="11" t="s">
        <v>13</v>
      </c>
      <c r="B9" s="11"/>
      <c r="C9" s="11" t="s">
        <v>14</v>
      </c>
      <c r="D9" s="11"/>
      <c r="E9" s="11" t="s">
        <v>15</v>
      </c>
      <c r="F9" s="11"/>
      <c r="G9" s="11" t="s">
        <v>16</v>
      </c>
      <c r="H9" s="11"/>
    </row>
    <row r="10" ht="26" customHeight="1" spans="1:8" x14ac:dyDescent="0.25">
      <c r="A10" s="12" t="s">
        <v>17</v>
      </c>
      <c r="B10" s="12"/>
      <c r="C10" s="12" t="s">
        <v>18</v>
      </c>
      <c r="D10" s="12"/>
      <c r="E10" s="12" t="s">
        <v>19</v>
      </c>
      <c r="F10" s="12"/>
      <c r="G10" s="12" t="s">
        <v>20</v>
      </c>
      <c r="H10" s="12"/>
    </row>
    <row r="11" ht="14" customHeight="1" spans="1:8" x14ac:dyDescent="0.25">
      <c r="A11" s="12"/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21</v>
      </c>
      <c r="B12" s="13"/>
      <c r="C12" s="13" t="s">
        <v>22</v>
      </c>
      <c r="D12" s="13"/>
      <c r="E12" s="13" t="s">
        <v>23</v>
      </c>
      <c r="F12" s="13"/>
      <c r="G12" s="13" t="s">
        <v>24</v>
      </c>
      <c r="H12" s="13"/>
    </row>
    <row r="13" ht="12" customHeight="1" x14ac:dyDescent="0.25"/>
    <row r="14" ht="22" customHeight="1" spans="1:8" x14ac:dyDescent="0.25">
      <c r="A14" s="9" t="s">
        <v>25</v>
      </c>
      <c r="B14" s="9"/>
      <c r="C14" s="9"/>
      <c r="D14" s="9"/>
      <c r="E14" s="10"/>
      <c r="F14" s="10"/>
      <c r="G14" s="10"/>
      <c r="H14" s="10"/>
    </row>
    <row r="15" ht="48" customHeight="1" spans="1:8" x14ac:dyDescent="0.25">
      <c r="A15" s="14" t="s">
        <v>26</v>
      </c>
      <c r="B15" s="15" t="s">
        <v>27</v>
      </c>
      <c r="C15" s="15"/>
      <c r="D15" s="15"/>
      <c r="E15" s="15"/>
      <c r="F15" s="15"/>
      <c r="G15" s="15"/>
      <c r="H15" s="15"/>
    </row>
    <row r="16" ht="24" customHeight="1" spans="1:8" x14ac:dyDescent="0.25">
      <c r="A16" s="16" t="s">
        <v>28</v>
      </c>
      <c r="B16" s="17" t="s">
        <v>29</v>
      </c>
      <c r="C16" s="18" t="s">
        <v>30</v>
      </c>
      <c r="D16" s="18"/>
      <c r="E16" s="18"/>
      <c r="F16" s="18"/>
      <c r="G16" s="18"/>
      <c r="H16" s="18"/>
    </row>
    <row r="17" ht="24" customHeight="1" spans="1:8" x14ac:dyDescent="0.25">
      <c r="A17" s="16"/>
      <c r="B17" s="17" t="s">
        <v>31</v>
      </c>
      <c r="C17" s="18" t="s">
        <v>32</v>
      </c>
      <c r="D17" s="18"/>
      <c r="E17" s="18"/>
      <c r="F17" s="18"/>
      <c r="G17" s="18"/>
      <c r="H17" s="18"/>
    </row>
    <row r="18" ht="24" customHeight="1" spans="1:8" x14ac:dyDescent="0.25">
      <c r="A18" s="16"/>
      <c r="B18" s="17" t="s">
        <v>33</v>
      </c>
      <c r="C18" s="18" t="s">
        <v>34</v>
      </c>
      <c r="D18" s="18"/>
      <c r="E18" s="18"/>
      <c r="F18" s="18"/>
      <c r="G18" s="18"/>
      <c r="H18" s="18"/>
    </row>
    <row r="19" ht="26" customHeight="1" spans="1:8" x14ac:dyDescent="0.25">
      <c r="A19" s="19" t="s">
        <v>35</v>
      </c>
      <c r="B19" s="20" t="s">
        <v>36</v>
      </c>
      <c r="C19" s="21" t="s">
        <v>37</v>
      </c>
      <c r="D19" s="21"/>
      <c r="E19" s="21"/>
      <c r="F19" s="21"/>
      <c r="G19" s="21"/>
      <c r="H19" s="22" t="s">
        <v>38</v>
      </c>
    </row>
    <row r="20" ht="26" customHeight="1" spans="1:8" x14ac:dyDescent="0.25">
      <c r="A20" s="19"/>
      <c r="B20" s="20" t="s">
        <v>39</v>
      </c>
      <c r="C20" s="21" t="s">
        <v>40</v>
      </c>
      <c r="D20" s="21"/>
      <c r="E20" s="21"/>
      <c r="F20" s="21"/>
      <c r="G20" s="21"/>
      <c r="H20" s="22" t="s">
        <v>41</v>
      </c>
    </row>
    <row r="21" ht="26" customHeight="1" spans="1:8" x14ac:dyDescent="0.25">
      <c r="A21" s="19"/>
      <c r="B21" s="20" t="s">
        <v>42</v>
      </c>
      <c r="C21" s="21" t="s">
        <v>43</v>
      </c>
      <c r="D21" s="21"/>
      <c r="E21" s="21"/>
      <c r="F21" s="21"/>
      <c r="G21" s="21"/>
      <c r="H21" s="22" t="s">
        <v>38</v>
      </c>
    </row>
    <row r="23" ht="24" customHeight="1" spans="1:8" x14ac:dyDescent="0.25">
      <c r="A23" s="23" t="s">
        <v>44</v>
      </c>
      <c r="B23" s="23"/>
      <c r="C23" s="23"/>
      <c r="D23" s="23"/>
      <c r="E23" s="23"/>
      <c r="F23" s="23"/>
      <c r="G23" s="23"/>
      <c r="H23" s="23"/>
    </row>
  </sheetData>
  <mergeCells count="37">
    <mergeCell ref="A1:C2"/>
    <mergeCell ref="D1:F2"/>
    <mergeCell ref="G1:H1"/>
    <mergeCell ref="G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A9:B9"/>
    <mergeCell ref="C9:D9"/>
    <mergeCell ref="E9:F9"/>
    <mergeCell ref="G9:H9"/>
    <mergeCell ref="A10:B11"/>
    <mergeCell ref="C10:D11"/>
    <mergeCell ref="E10:F11"/>
    <mergeCell ref="G10:H11"/>
    <mergeCell ref="A12:B12"/>
    <mergeCell ref="C12:D12"/>
    <mergeCell ref="E12:F12"/>
    <mergeCell ref="G12:H12"/>
    <mergeCell ref="A14:D14"/>
    <mergeCell ref="B15:H15"/>
    <mergeCell ref="C16:H16"/>
    <mergeCell ref="A16:A18"/>
    <mergeCell ref="C17:H17"/>
    <mergeCell ref="C18:H18"/>
    <mergeCell ref="C19:G19"/>
    <mergeCell ref="A19:A21"/>
    <mergeCell ref="C20:G20"/>
    <mergeCell ref="C21:G21"/>
    <mergeCell ref="A23:H23"/>
  </mergeCells>
  <printOptions horizontalCentered="1"/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&amp;L&amp;8CONFIDENTIAL&amp;C&amp;8© Research Studio&amp;R&amp;8&amp;P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F15"/>
  <sheetViews>
    <sheetView workbookViewId="0" showGridLines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24" customWidth="1"/>
    <col min="5" max="5" width="34" customWidth="1"/>
    <col min="6" max="6" width="11" customWidth="1"/>
  </cols>
  <sheetData>
    <row r="1" ht="34" customHeight="1" spans="1:6" x14ac:dyDescent="0.25">
      <c r="A1" s="24" t="s">
        <v>45</v>
      </c>
      <c r="B1" s="24"/>
      <c r="C1" s="24"/>
      <c r="D1" s="24"/>
      <c r="E1" s="24"/>
      <c r="F1" s="24"/>
    </row>
    <row r="2" ht="22" customHeight="1" spans="1:6" x14ac:dyDescent="0.25">
      <c r="A2" s="25" t="s">
        <v>46</v>
      </c>
      <c r="B2" s="25"/>
      <c r="C2" s="25"/>
      <c r="D2" s="25"/>
      <c r="E2" s="25"/>
      <c r="F2" s="25"/>
    </row>
    <row r="3" ht="28" customHeight="1" spans="1:6" x14ac:dyDescent="0.25">
      <c r="A3" s="26" t="s">
        <v>47</v>
      </c>
      <c r="B3" s="27" t="s">
        <v>48</v>
      </c>
      <c r="C3" s="28" t="s">
        <v>49</v>
      </c>
      <c r="D3" s="28" t="s">
        <v>50</v>
      </c>
      <c r="E3" s="26" t="s">
        <v>51</v>
      </c>
      <c r="F3" s="28" t="s">
        <v>52</v>
      </c>
    </row>
    <row r="4" ht="20" customHeight="1" spans="1:6" x14ac:dyDescent="0.25">
      <c r="A4" s="29" t="s">
        <v>53</v>
      </c>
      <c r="B4" s="29"/>
      <c r="C4" s="29"/>
      <c r="D4" s="29"/>
      <c r="E4" s="29"/>
      <c r="F4" s="29"/>
    </row>
    <row r="5" ht="26" customHeight="1" spans="1:6" x14ac:dyDescent="0.25">
      <c r="A5" s="30" t="s">
        <v>54</v>
      </c>
      <c r="B5" s="31" t="s">
        <v>55</v>
      </c>
      <c r="C5" s="32" t="s">
        <v>56</v>
      </c>
      <c r="D5" s="32" t="s">
        <v>57</v>
      </c>
      <c r="E5" s="33" t="s">
        <v>58</v>
      </c>
      <c r="F5" s="34" t="s">
        <v>59</v>
      </c>
    </row>
    <row r="6" ht="26" customHeight="1" spans="1:6" x14ac:dyDescent="0.25">
      <c r="A6" s="35" t="s">
        <v>60</v>
      </c>
      <c r="B6" s="36" t="s">
        <v>61</v>
      </c>
      <c r="C6" s="37" t="s">
        <v>62</v>
      </c>
      <c r="D6" s="38" t="s">
        <v>61</v>
      </c>
      <c r="E6" s="39" t="s">
        <v>63</v>
      </c>
      <c r="F6" s="34" t="s">
        <v>59</v>
      </c>
    </row>
    <row r="7" ht="26" customHeight="1" spans="1:6" x14ac:dyDescent="0.25">
      <c r="A7" s="30" t="s">
        <v>64</v>
      </c>
      <c r="B7" s="31" t="s">
        <v>59</v>
      </c>
      <c r="C7" s="32" t="s">
        <v>59</v>
      </c>
      <c r="D7" s="32" t="s">
        <v>65</v>
      </c>
      <c r="E7" s="33" t="s">
        <v>66</v>
      </c>
      <c r="F7" s="40" t="s">
        <v>65</v>
      </c>
    </row>
    <row r="8" ht="20" customHeight="1" spans="1:6" x14ac:dyDescent="0.25">
      <c r="A8" s="29" t="s">
        <v>67</v>
      </c>
      <c r="B8" s="29"/>
      <c r="C8" s="29"/>
      <c r="D8" s="29"/>
      <c r="E8" s="29"/>
      <c r="F8" s="29"/>
    </row>
    <row r="9" ht="26" customHeight="1" spans="1:6" x14ac:dyDescent="0.25">
      <c r="A9" s="30" t="s">
        <v>68</v>
      </c>
      <c r="B9" s="41">
        <v>500000</v>
      </c>
      <c r="C9" s="42">
        <v>18000000</v>
      </c>
      <c r="D9" s="42">
        <v>3000000</v>
      </c>
      <c r="E9" s="33" t="s">
        <v>69</v>
      </c>
      <c r="F9" s="34" t="s">
        <v>59</v>
      </c>
    </row>
    <row r="10" ht="26" customHeight="1" spans="1:6" x14ac:dyDescent="0.25">
      <c r="A10" s="35" t="s">
        <v>70</v>
      </c>
      <c r="B10" s="43">
        <v>980000</v>
      </c>
      <c r="C10" s="44">
        <v>420000</v>
      </c>
      <c r="D10" s="44">
        <v>650000</v>
      </c>
      <c r="E10" s="39" t="s">
        <v>71</v>
      </c>
      <c r="F10" s="45" t="s">
        <v>65</v>
      </c>
    </row>
    <row r="11" ht="26" customHeight="1" spans="1:6" x14ac:dyDescent="0.25">
      <c r="A11" s="30" t="s">
        <v>72</v>
      </c>
      <c r="B11" s="41">
        <v>35780000</v>
      </c>
      <c r="C11" s="42">
        <v>33120000</v>
      </c>
      <c r="D11" s="42">
        <v>26400000</v>
      </c>
      <c r="E11" s="33" t="s">
        <v>73</v>
      </c>
      <c r="F11" s="40" t="s">
        <v>65</v>
      </c>
    </row>
    <row r="12" ht="20" customHeight="1" spans="1:6" x14ac:dyDescent="0.25">
      <c r="A12" s="29" t="s">
        <v>74</v>
      </c>
      <c r="B12" s="29"/>
      <c r="C12" s="29"/>
      <c r="D12" s="29"/>
      <c r="E12" s="29"/>
      <c r="F12" s="29"/>
    </row>
    <row r="13" ht="26" customHeight="1" spans="1:6" x14ac:dyDescent="0.25">
      <c r="A13" s="30" t="s">
        <v>75</v>
      </c>
      <c r="B13" s="31" t="s">
        <v>76</v>
      </c>
      <c r="C13" s="32" t="s">
        <v>77</v>
      </c>
      <c r="D13" s="32" t="s">
        <v>78</v>
      </c>
      <c r="E13" s="33" t="s">
        <v>79</v>
      </c>
      <c r="F13" s="34" t="s">
        <v>59</v>
      </c>
    </row>
    <row r="14" ht="26" customHeight="1" spans="1:6" x14ac:dyDescent="0.25">
      <c r="A14" s="35" t="s">
        <v>80</v>
      </c>
      <c r="B14" s="36" t="s">
        <v>81</v>
      </c>
      <c r="C14" s="38" t="s">
        <v>82</v>
      </c>
      <c r="D14" s="38" t="s">
        <v>81</v>
      </c>
      <c r="E14" s="39" t="s">
        <v>83</v>
      </c>
      <c r="F14" s="45" t="s">
        <v>65</v>
      </c>
    </row>
    <row r="15" ht="26" customHeight="1" spans="1:6" x14ac:dyDescent="0.25">
      <c r="A15" s="30" t="s">
        <v>84</v>
      </c>
      <c r="B15" s="46" t="s">
        <v>85</v>
      </c>
      <c r="C15" s="32" t="s">
        <v>86</v>
      </c>
      <c r="D15" s="32" t="s">
        <v>65</v>
      </c>
      <c r="E15" s="33" t="s">
        <v>87</v>
      </c>
      <c r="F15" s="47" t="s">
        <v>88</v>
      </c>
    </row>
  </sheetData>
  <autoFilter ref="A3:F15"/>
  <mergeCells count="5">
    <mergeCell ref="A1:F1"/>
    <mergeCell ref="A2:F2"/>
    <mergeCell ref="A4:F4"/>
    <mergeCell ref="A8:F8"/>
    <mergeCell ref="A12:F12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&amp;L&amp;8CONFIDENTIAL&amp;C&amp;8© Research Studio&amp;R&amp;8&amp;P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  <pageSetUpPr fitToPage="1"/>
  </sheetPr>
  <dimension ref="A1:E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3" customWidth="1"/>
    <col min="4" max="4" width="52" customWidth="1"/>
    <col min="5" max="5" width="54" customWidth="1"/>
  </cols>
  <sheetData>
    <row r="1" ht="34" customHeight="1" spans="1:5" x14ac:dyDescent="0.25">
      <c r="A1" s="24" t="s">
        <v>89</v>
      </c>
      <c r="B1" s="24"/>
      <c r="C1" s="24"/>
      <c r="D1" s="24"/>
      <c r="E1" s="24"/>
    </row>
    <row r="2" ht="22" customHeight="1" spans="1:5" x14ac:dyDescent="0.25">
      <c r="A2" s="25" t="s">
        <v>90</v>
      </c>
      <c r="B2" s="25"/>
      <c r="C2" s="25"/>
      <c r="D2" s="25"/>
      <c r="E2" s="25"/>
    </row>
    <row r="3" ht="26" customHeight="1" spans="1:5" x14ac:dyDescent="0.25">
      <c r="A3" s="48" t="s">
        <v>91</v>
      </c>
      <c r="B3" s="49" t="s">
        <v>92</v>
      </c>
      <c r="C3" s="48" t="s">
        <v>93</v>
      </c>
      <c r="D3" s="49" t="s">
        <v>94</v>
      </c>
      <c r="E3" s="49" t="s">
        <v>95</v>
      </c>
    </row>
    <row r="4" ht="24" customHeight="1" spans="1:5" x14ac:dyDescent="0.25">
      <c r="A4" s="50" t="s">
        <v>96</v>
      </c>
      <c r="B4" s="51" t="s">
        <v>97</v>
      </c>
      <c r="C4" s="52">
        <v>92</v>
      </c>
      <c r="D4" s="53" t="s">
        <v>98</v>
      </c>
      <c r="E4" s="54" t="str">
        <f>HYPERLINK("https://market.example.com/reports/ai-solutions-2026","https://market.example.com/reports/ai-solutions-2026")</f>
        <v>https://market.example.com/reports/ai-solutions-2026</v>
      </c>
    </row>
    <row r="5" ht="24" customHeight="1" spans="1:5" x14ac:dyDescent="0.25">
      <c r="A5" s="55" t="s">
        <v>99</v>
      </c>
      <c r="B5" s="56" t="s">
        <v>100</v>
      </c>
      <c r="C5" s="57">
        <v>95</v>
      </c>
      <c r="D5" s="58" t="s">
        <v>101</v>
      </c>
      <c r="E5" s="59" t="str">
        <f>HYPERLINK("https://papers.example.org/rag-evaluation","https://papers.example.org/rag-evaluation")</f>
        <v>https://papers.example.org/rag-evaluation</v>
      </c>
    </row>
    <row r="6" ht="24" customHeight="1" spans="1:5" x14ac:dyDescent="0.25">
      <c r="A6" s="50" t="s">
        <v>102</v>
      </c>
      <c r="B6" s="51" t="s">
        <v>103</v>
      </c>
      <c r="C6" s="52">
        <v>78</v>
      </c>
      <c r="D6" s="53" t="s">
        <v>104</v>
      </c>
      <c r="E6" s="54" t="str">
        <f>HYPERLINK("https://tech.example.net/enterprise-ai-search","https://tech.example.net/enterprise-ai-search")</f>
        <v>https://tech.example.net/enterprise-ai-search</v>
      </c>
    </row>
    <row r="7" ht="24" customHeight="1" spans="1:5" x14ac:dyDescent="0.25">
      <c r="A7" s="55" t="s">
        <v>105</v>
      </c>
      <c r="B7" s="56" t="s">
        <v>106</v>
      </c>
      <c r="C7" s="57">
        <v>97</v>
      </c>
      <c r="D7" s="58" t="s">
        <v>107</v>
      </c>
      <c r="E7" s="59" t="str">
        <f>HYPERLINK("https://stats.example.go.jp/ai-survey-2026","https://stats.example.go.jp/ai-survey-2026")</f>
        <v>https://stats.example.go.jp/ai-survey-2026</v>
      </c>
    </row>
    <row r="8" ht="24" customHeight="1" spans="1:5" x14ac:dyDescent="0.25">
      <c r="A8" s="50" t="s">
        <v>108</v>
      </c>
      <c r="B8" s="51" t="s">
        <v>109</v>
      </c>
      <c r="C8" s="52">
        <v>90</v>
      </c>
      <c r="D8" s="53" t="s">
        <v>110</v>
      </c>
      <c r="E8" s="54" t="str">
        <f>HYPERLINK("https://security.example.or.jp/genai-incidents","https://security.example.or.jp/genai-incidents")</f>
        <v>https://security.example.or.jp/genai-incidents</v>
      </c>
    </row>
    <row r="9" ht="24" customHeight="1" spans="1:5" x14ac:dyDescent="0.25">
      <c r="A9" s="55" t="s">
        <v>111</v>
      </c>
      <c r="B9" s="56" t="s">
        <v>112</v>
      </c>
      <c r="C9" s="57">
        <v>52</v>
      </c>
      <c r="D9" s="58" t="s">
        <v>113</v>
      </c>
      <c r="E9" s="59" t="str">
        <f>HYPERLINK("https://blog.example.com/ai-search-migration","https://blog.example.com/ai-search-migration")</f>
        <v>https://blog.example.com/ai-search-migration</v>
      </c>
    </row>
  </sheetData>
  <autoFilter ref="A3:E9"/>
  <mergeCells count="2">
    <mergeCell ref="A1:E1"/>
    <mergeCell ref="A2:E2"/>
  </mergeCells>
  <conditionalFormatting sqref="C4:C9">
    <cfRule type="cellIs" dxfId="0" priority="1" operator="greaterThanOrEqual">
      <formula>80</formula>
    </cfRule>
    <cfRule type="cellIs" dxfId="1" priority="2" operator="lessThan">
      <formula>60</formula>
    </cfRule>
  </conditionalFormatting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&amp;L&amp;8CONFIDENTIAL&amp;C&amp;8© Research Studio&amp;R&amp;8&amp;P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Executive_Summary</vt:lpstr>
      <vt:lpstr>Comparison_Matrix</vt:lpstr>
      <vt:lpstr>Source_Index</vt:lpstr>
    </vt:vector>
  </TitlesOfParts>
  <Company>Research Studio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Studio</dc:creator>
  <dc:title>社内ナレッジ検索への生成AI（RAG）導入評価</dc:title>
  <dc:subject>ナレッジマネジメント / 生成AI</dc:subject>
  <dc:description/>
  <cp:keywords/>
  <cp:category/>
  <cp:lastModifiedBy>Unknown</cp:lastModifiedBy>
  <dcterms:created xsi:type="dcterms:W3CDTF">2026-10-26T16:48:59Z</dcterms:created>
  <dcterms:modified xsi:type="dcterms:W3CDTF">2026-10-26T16:48:59Z</dcterms:modified>
</cp:coreProperties>
</file>